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GitHub\Shoot-em-UP-game\doc\"/>
    </mc:Choice>
  </mc:AlternateContent>
  <xr:revisionPtr revIDLastSave="0" documentId="13_ncr:1_{6219A435-9DB3-4320-B4CB-CF1E00FEA7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Journal" sheetId="18" r:id="rId1"/>
  </sheets>
  <definedNames>
    <definedName name="Rapport">Journal!$D$14</definedName>
    <definedName name="_xlnm.Print_Area" localSheetId="0">Journal!$A$1:$E$72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9" i="18" l="1"/>
  <c r="B83" i="18"/>
  <c r="B77" i="18"/>
  <c r="B71" i="18"/>
  <c r="B65" i="18"/>
  <c r="B59" i="18"/>
  <c r="B53" i="18"/>
  <c r="B47" i="18"/>
  <c r="B41" i="18"/>
  <c r="B35" i="18"/>
  <c r="B29" i="18"/>
  <c r="B23" i="18"/>
  <c r="B17" i="18"/>
  <c r="B11" i="18"/>
  <c r="B240" i="18"/>
</calcChain>
</file>

<file path=xl/sharedStrings.xml><?xml version="1.0" encoding="utf-8"?>
<sst xmlns="http://schemas.openxmlformats.org/spreadsheetml/2006/main" count="63" uniqueCount="62">
  <si>
    <t>Apprenti.e</t>
  </si>
  <si>
    <t>Solomatin Kiril</t>
  </si>
  <si>
    <t>Classe ou Groupe</t>
  </si>
  <si>
    <t>Experts </t>
  </si>
  <si>
    <t>Chef.fe de Projet</t>
  </si>
  <si>
    <t>Bulle / Domaine / Module</t>
  </si>
  <si>
    <t>Sujet </t>
  </si>
  <si>
    <t>Dates</t>
  </si>
  <si>
    <r>
      <t xml:space="preserve">Durées </t>
    </r>
    <r>
      <rPr>
        <b/>
        <sz val="10"/>
        <rFont val="Century Gothic"/>
        <family val="2"/>
      </rPr>
      <t>[min]</t>
    </r>
  </si>
  <si>
    <t>Explications / Etats</t>
  </si>
  <si>
    <t>Sources, liens, références, commits …</t>
  </si>
  <si>
    <t>Introduction dans le projet</t>
  </si>
  <si>
    <t>Créeation de repos Git, travail avec CDC</t>
  </si>
  <si>
    <t xml:space="preserve">Création du concept de joue </t>
  </si>
  <si>
    <t>Discussion sur le projet avec le professeur</t>
  </si>
  <si>
    <t>MID2B</t>
  </si>
  <si>
    <t>Xavier Carrel</t>
  </si>
  <si>
    <t>Rapport</t>
  </si>
  <si>
    <t>Git - User Storys</t>
  </si>
  <si>
    <t>Git - User Story 1</t>
  </si>
  <si>
    <t>Repos GitHub</t>
  </si>
  <si>
    <t>CDC</t>
  </si>
  <si>
    <t>Découverte des fonctionnalités de Windows Forms.</t>
  </si>
  <si>
    <t>Durée total (h ou p): 32p</t>
  </si>
  <si>
    <t>J'ai créé 1 User Story: Atack Enemy</t>
  </si>
  <si>
    <t>J'ai créé un rapport, il contient 3 parties: introduction, analyse, planification initiale</t>
  </si>
  <si>
    <t>J'ai créé encore 3 User Stories supplémentaires: Enemy appearance, enemy movement, Loss conditions</t>
  </si>
  <si>
    <t>Conception des User Stories pour un jeu: player movement, player atack, obstacles, score system</t>
  </si>
  <si>
    <t xml:space="preserve">J'ai corrigé des points faibles de mon JDT et de mes User Stories, selon les conseils de profeseur </t>
  </si>
  <si>
    <t>J'ai essayé de réaliser l'affichage du personnage, mais je n'y suis pas encore parvenu.</t>
  </si>
  <si>
    <t>J'ai réalisé l'affichage du personage à l'écran du jeu</t>
  </si>
  <si>
    <t xml:space="preserve">J'ai réalisé le déplacement du personnage </t>
  </si>
  <si>
    <t>J'ai dessiné l'arrière-plan pour le jeu</t>
  </si>
  <si>
    <t>J'ai fini 1 user story (player movement). Le joueur se trouve sur la ligne en bas et il ne peut plus sortir de l’échiquier</t>
  </si>
  <si>
    <t>J'ai réalisé le premier des trois types d'attaque: la tour. J’ai créé le projectile et ajouté son déplacement vertical.</t>
  </si>
  <si>
    <t>J’ai ajouté la suppression des balles lorsqu’elles sortent de l’aire de jeu.</t>
  </si>
  <si>
    <t>J’ai adapté le script de tir afin de gérer les trois types de tirs différents.</t>
  </si>
  <si>
    <t>J’ai ajouté le troisième type d’attaque : le cavalier. Cependant, il me reste quatre tâches à réaliser dans la partie « Player Attack » : le cavalier peut traverser les pions du joueur, le fou se déplace en diagonale et peut traverser les pions noirs, ce qui lui permet de tuer plusieurs ennemis à la fois. Le cavalier et la tour sont détruits dès qu’ils touchent un ennemi.</t>
  </si>
  <si>
    <t>J’ai ajouté le deuxième type d’attaque : le fou, avec son déplacement en diagonale.</t>
  </si>
  <si>
    <t>J'ai ajouté une classe pour les barrières, ainsi qu'une méthode qui dispose les barrières de manière aléatoire sur la 7e ligne</t>
  </si>
  <si>
    <t>j'ai commencé à créer une méthode qui vérifie si une tire n'entre pas en collision d'obstacle</t>
  </si>
  <si>
    <t>J'ai défini les collisions entre la balle et les obstacles ; désormais, en cas de collision, la balle est détruite.</t>
  </si>
  <si>
    <t xml:space="preserve">J'ai créé une classe d'ennemi et réalisé sa déplacement </t>
  </si>
  <si>
    <t>J’ai créé une nouvelle classe pour vérifier les collisions entre les objets du jeu. J’ai également fait en sorte qu’un ennemi et un projectile soient détruits lorsqu’ils entrent en collision.</t>
  </si>
  <si>
    <t>J’ai créé la classe `ScoreSystem` pour gérer l’augmentation automatique des points et afficher le score à l’écran.</t>
  </si>
  <si>
    <t>J’ai ajouté un système qui attribue des points au joueur lorsqu’il élimine un ennemi.</t>
  </si>
  <si>
    <t>J'ai remplacé la police de texte standard du jeu par une police pixelisée</t>
  </si>
  <si>
    <t>J'ai dessiné et remplacé les textures du jeu par des textures en pixels.</t>
  </si>
  <si>
    <t>J'ai ajouté la possibilité de perdre la partie, les conditions de défaite et la scène de défaite.</t>
  </si>
  <si>
    <t>J'ai modifié les collisions entre les balles et les obstacles afin que les balles ne soient pas détruites par inadvertance</t>
  </si>
  <si>
    <t>J'ai ajouté un système de difficulté au jeu : la vitesse des ennemis augmente et le délai avant leur apparition diminue lorsque le joueur gagne des points.</t>
  </si>
  <si>
    <t>J'ai remplacé les textures du jeu par celles générées par l'IA</t>
  </si>
  <si>
    <t>J'ai ajouté un boss qui apparaît après avoir atteint 700 points ; le vaincre permet de remporter la partie.</t>
  </si>
  <si>
    <t>J'ai fait en sorte que les images ne se chargent qu'une seule fois</t>
  </si>
  <si>
    <t>J'ai ajouté des points de vie au joueur et modifié les conditions de défaite</t>
  </si>
  <si>
    <t>J'ai ajusté les variables pour rendre le jeu plus dynamique et difficile</t>
  </si>
  <si>
    <t>J'ai renommé les variables selon les conventions de nommage C#</t>
  </si>
  <si>
    <t>J'ai ajouté le menu principal au jeu ainsi qu'une scène expliquant les commandes du jeu</t>
  </si>
  <si>
    <t>J'ai ajouté deux tests unitaires, l'un pour les attaques du boss et l'autre pour celles du joueur</t>
  </si>
  <si>
    <t>Travail sur le rapport</t>
  </si>
  <si>
    <t>J'ai ajouté un autre test au projet</t>
  </si>
  <si>
    <t>J'ai fini le travail sur le 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</si>
</sst>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entury Gothic"/>
      <family val="2"/>
      <scheme val="minor"/>
    </font>
    <font>
      <u/>
      <sz val="10"/>
      <color indexed="12"/>
      <name val="Arial"/>
      <family val="2"/>
    </font>
    <font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color rgb="FF00000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4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0" borderId="10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3" borderId="2" xfId="0" applyFont="1" applyFill="1" applyBorder="1" applyAlignment="1" applyProtection="1">
      <alignment vertical="center" wrapText="1"/>
      <protection locked="0"/>
    </xf>
    <xf numFmtId="0" fontId="3" fillId="3" borderId="3" xfId="0" applyFont="1" applyFill="1" applyBorder="1" applyAlignment="1" applyProtection="1">
      <alignment vertical="center" wrapText="1"/>
      <protection locked="0"/>
    </xf>
    <xf numFmtId="0" fontId="4" fillId="2" borderId="3" xfId="0" applyFont="1" applyFill="1" applyBorder="1" applyAlignment="1">
      <alignment horizontal="right" vertical="center" wrapText="1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3" borderId="11" xfId="0" applyFont="1" applyFill="1" applyBorder="1" applyAlignment="1">
      <alignment horizontal="left" vertical="center" wrapText="1" indent="1"/>
    </xf>
    <xf numFmtId="0" fontId="4" fillId="3" borderId="11" xfId="0" applyFont="1" applyFill="1" applyBorder="1" applyAlignment="1">
      <alignment horizontal="left" vertical="center" indent="1"/>
    </xf>
    <xf numFmtId="0" fontId="4" fillId="2" borderId="11" xfId="0" applyFont="1" applyFill="1" applyBorder="1" applyAlignment="1">
      <alignment horizontal="center" vertical="center"/>
    </xf>
    <xf numFmtId="14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vertical="center"/>
    </xf>
    <xf numFmtId="0" fontId="1" fillId="0" borderId="11" xfId="1" applyBorder="1" applyAlignment="1" applyProtection="1">
      <alignment horizontal="center"/>
    </xf>
    <xf numFmtId="0" fontId="1" fillId="0" borderId="11" xfId="1" applyBorder="1" applyAlignment="1" applyProtection="1">
      <alignment horizontal="center" vertical="center" wrapText="1"/>
      <protection locked="0"/>
    </xf>
    <xf numFmtId="0" fontId="1" fillId="0" borderId="11" xfId="1" applyBorder="1" applyAlignment="1" applyProtection="1">
      <alignment vertical="center" wrapText="1"/>
      <protection locked="0"/>
    </xf>
    <xf numFmtId="0" fontId="3" fillId="3" borderId="11" xfId="0" applyFont="1" applyFill="1" applyBorder="1" applyAlignment="1" applyProtection="1">
      <alignment vertical="center" wrapText="1"/>
      <protection locked="0"/>
    </xf>
    <xf numFmtId="0" fontId="0" fillId="0" borderId="11" xfId="0" applyBorder="1"/>
    <xf numFmtId="0" fontId="6" fillId="0" borderId="11" xfId="0" applyFont="1" applyBorder="1"/>
    <xf numFmtId="0" fontId="3" fillId="0" borderId="11" xfId="0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3" fillId="4" borderId="11" xfId="0" applyFont="1" applyFill="1" applyBorder="1" applyAlignment="1" applyProtection="1">
      <alignment horizontal="left" vertical="center" wrapText="1"/>
      <protection locked="0"/>
    </xf>
    <xf numFmtId="0" fontId="0" fillId="0" borderId="11" xfId="0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 applyAlignment="1" applyProtection="1">
      <alignment horizontal="left" vertical="top" wrapText="1"/>
      <protection locked="0"/>
    </xf>
  </cellXfs>
  <cellStyles count="2">
    <cellStyle name="Lien hypertexte" xfId="1" builtinId="8"/>
    <cellStyle name="Normal" xfId="0" builtinId="0" customBuiltin="1"/>
  </cellStyles>
  <dxfs count="0"/>
  <tableStyles count="0" defaultTableStyle="TableStyleMedium9" defaultPivotStyle="PivotStyleLight16"/>
  <colors>
    <mruColors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usti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ustin">
      <a:maj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Austin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 prstMaterial="metal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94000"/>
                <a:satMod val="114000"/>
                <a:lumMod val="96000"/>
              </a:schemeClr>
            </a:gs>
            <a:gs pos="62000">
              <a:schemeClr val="phClr">
                <a:tint val="92000"/>
                <a:shade val="66000"/>
                <a:satMod val="110000"/>
                <a:lumMod val="80000"/>
              </a:schemeClr>
            </a:gs>
            <a:gs pos="100000">
              <a:schemeClr val="phClr">
                <a:tint val="89000"/>
                <a:shade val="62000"/>
                <a:satMod val="110000"/>
                <a:lumMod val="72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80000"/>
                <a:shade val="58000"/>
              </a:schemeClr>
              <a:schemeClr val="phClr">
                <a:tint val="73000"/>
                <a:shade val="68000"/>
                <a:satMod val="15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github.com/KirSolomatin/Shoot-em-UP-game/issue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KirSolomatin/Shoot-em-UP-game/issues/1" TargetMode="External"/><Relationship Id="rId1" Type="http://schemas.openxmlformats.org/officeDocument/2006/relationships/hyperlink" Target="https://github.com/KirSolomatin/Shoot-em-UP-game" TargetMode="External"/><Relationship Id="rId6" Type="http://schemas.openxmlformats.org/officeDocument/2006/relationships/hyperlink" Target="https://github.com/KirSolomatin/Shoot-em-UP-game/issues" TargetMode="External"/><Relationship Id="rId5" Type="http://schemas.openxmlformats.org/officeDocument/2006/relationships/hyperlink" Target="d-320-KSN-rapportShootEmUp.pdf" TargetMode="External"/><Relationship Id="rId4" Type="http://schemas.openxmlformats.org/officeDocument/2006/relationships/hyperlink" Target="cd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9B11-3078-4C32-9318-C5231A58CF27}">
  <sheetPr>
    <pageSetUpPr fitToPage="1"/>
  </sheetPr>
  <dimension ref="A1:E240"/>
  <sheetViews>
    <sheetView tabSelected="1" zoomScale="85" zoomScaleNormal="85" zoomScaleSheetLayoutView="40" workbookViewId="0">
      <pane xSplit="3" ySplit="5" topLeftCell="D56" activePane="bottomRight" state="frozen"/>
      <selection pane="topRight" activeCell="D1" sqref="D1"/>
      <selection pane="bottomLeft" activeCell="A2" sqref="A2"/>
      <selection pane="bottomRight" activeCell="B90" sqref="B90"/>
    </sheetView>
  </sheetViews>
  <sheetFormatPr baseColWidth="10" defaultColWidth="11.44140625" defaultRowHeight="13.2" x14ac:dyDescent="0.25"/>
  <cols>
    <col min="1" max="1" width="26.6640625" style="1" customWidth="1"/>
    <col min="2" max="2" width="14.6640625" style="1" customWidth="1"/>
    <col min="3" max="3" width="178.21875" style="1" customWidth="1"/>
    <col min="4" max="4" width="42.5546875" style="1" bestFit="1" customWidth="1"/>
    <col min="5" max="5" width="50.6640625" style="1" customWidth="1"/>
    <col min="6" max="6" width="19.5546875" style="1" customWidth="1"/>
    <col min="7" max="7" width="36" style="1" customWidth="1"/>
    <col min="8" max="16384" width="11.44140625" style="1"/>
  </cols>
  <sheetData>
    <row r="1" spans="1:5" ht="21" customHeight="1" x14ac:dyDescent="0.25">
      <c r="A1" s="23" t="s">
        <v>0</v>
      </c>
      <c r="B1" s="40" t="s">
        <v>1</v>
      </c>
      <c r="C1" s="40"/>
      <c r="D1" s="24" t="s">
        <v>23</v>
      </c>
      <c r="E1" s="19"/>
    </row>
    <row r="2" spans="1:5" ht="21" customHeight="1" x14ac:dyDescent="0.25">
      <c r="A2" s="23" t="s">
        <v>2</v>
      </c>
      <c r="B2" s="40" t="s">
        <v>15</v>
      </c>
      <c r="C2" s="40"/>
      <c r="D2" s="24" t="s">
        <v>3</v>
      </c>
      <c r="E2" s="19"/>
    </row>
    <row r="3" spans="1:5" ht="21" customHeight="1" x14ac:dyDescent="0.25">
      <c r="A3" s="23" t="s">
        <v>4</v>
      </c>
      <c r="B3" s="40" t="s">
        <v>16</v>
      </c>
      <c r="C3" s="40"/>
      <c r="D3" s="24" t="s">
        <v>5</v>
      </c>
      <c r="E3" s="20"/>
    </row>
    <row r="4" spans="1:5" ht="21" customHeight="1" x14ac:dyDescent="0.25">
      <c r="A4" s="23" t="s">
        <v>6</v>
      </c>
      <c r="B4" s="22"/>
      <c r="C4" s="22"/>
      <c r="D4" s="22"/>
      <c r="E4" s="21"/>
    </row>
    <row r="5" spans="1:5" ht="21" customHeight="1" x14ac:dyDescent="0.25">
      <c r="A5" s="25" t="s">
        <v>7</v>
      </c>
      <c r="B5" s="25" t="s">
        <v>8</v>
      </c>
      <c r="C5" s="25" t="s">
        <v>9</v>
      </c>
      <c r="D5" s="25" t="s">
        <v>10</v>
      </c>
    </row>
    <row r="6" spans="1:5" ht="18" customHeight="1" x14ac:dyDescent="0.25">
      <c r="A6" s="26">
        <v>46262</v>
      </c>
      <c r="B6" s="27">
        <v>100</v>
      </c>
      <c r="C6" s="28" t="s">
        <v>11</v>
      </c>
      <c r="D6" s="29" t="s">
        <v>21</v>
      </c>
    </row>
    <row r="7" spans="1:5" ht="18" customHeight="1" x14ac:dyDescent="0.25">
      <c r="A7" s="27"/>
      <c r="B7" s="27">
        <v>25</v>
      </c>
      <c r="C7" s="28" t="s">
        <v>12</v>
      </c>
      <c r="D7" s="30" t="s">
        <v>20</v>
      </c>
    </row>
    <row r="8" spans="1:5" ht="18" customHeight="1" x14ac:dyDescent="0.25">
      <c r="A8" s="27"/>
      <c r="B8" s="27">
        <v>40</v>
      </c>
      <c r="C8" s="28" t="s">
        <v>13</v>
      </c>
      <c r="D8" s="31"/>
    </row>
    <row r="9" spans="1:5" ht="18" customHeight="1" x14ac:dyDescent="0.25">
      <c r="A9" s="27"/>
      <c r="B9" s="27">
        <v>35</v>
      </c>
      <c r="C9" s="28" t="s">
        <v>24</v>
      </c>
      <c r="D9" s="29" t="s">
        <v>19</v>
      </c>
    </row>
    <row r="10" spans="1:5" ht="18" customHeight="1" x14ac:dyDescent="0.25">
      <c r="A10" s="27"/>
      <c r="B10" s="27"/>
      <c r="C10" s="27"/>
      <c r="D10" s="27"/>
    </row>
    <row r="11" spans="1:5" ht="18" customHeight="1" x14ac:dyDescent="0.25">
      <c r="A11" s="32"/>
      <c r="B11" s="32">
        <f>SUM(B6,B7,B8,B9)</f>
        <v>200</v>
      </c>
      <c r="C11" s="32"/>
      <c r="D11" s="32"/>
    </row>
    <row r="12" spans="1:5" ht="18" customHeight="1" x14ac:dyDescent="0.25">
      <c r="A12" s="26">
        <v>46269</v>
      </c>
      <c r="B12" s="27">
        <v>40</v>
      </c>
      <c r="C12" s="28" t="s">
        <v>14</v>
      </c>
      <c r="D12" s="31"/>
    </row>
    <row r="13" spans="1:5" ht="18" customHeight="1" x14ac:dyDescent="0.25">
      <c r="A13" s="27"/>
      <c r="B13" s="27">
        <v>85</v>
      </c>
      <c r="C13" s="33" t="s">
        <v>27</v>
      </c>
      <c r="D13" s="29" t="s">
        <v>18</v>
      </c>
    </row>
    <row r="14" spans="1:5" ht="18" customHeight="1" x14ac:dyDescent="0.25">
      <c r="A14" s="27"/>
      <c r="B14" s="27">
        <v>75</v>
      </c>
      <c r="C14" s="34" t="s">
        <v>25</v>
      </c>
      <c r="D14" s="29" t="s">
        <v>17</v>
      </c>
    </row>
    <row r="15" spans="1:5" ht="18" customHeight="1" x14ac:dyDescent="0.25">
      <c r="A15" s="27"/>
      <c r="B15" s="27"/>
      <c r="C15" s="35"/>
      <c r="D15" s="31"/>
    </row>
    <row r="16" spans="1:5" ht="18" customHeight="1" x14ac:dyDescent="0.25">
      <c r="A16" s="27"/>
      <c r="B16" s="27"/>
      <c r="C16" s="35"/>
      <c r="D16" s="27"/>
    </row>
    <row r="17" spans="1:4" ht="18" customHeight="1" x14ac:dyDescent="0.25">
      <c r="A17" s="32"/>
      <c r="B17" s="32">
        <f>SUM(B12,B14,B13)</f>
        <v>200</v>
      </c>
      <c r="C17" s="32"/>
      <c r="D17" s="32"/>
    </row>
    <row r="18" spans="1:4" ht="18" customHeight="1" x14ac:dyDescent="0.25">
      <c r="A18" s="26">
        <v>46276</v>
      </c>
      <c r="B18" s="27">
        <v>30</v>
      </c>
      <c r="C18" s="35" t="s">
        <v>26</v>
      </c>
      <c r="D18" s="29" t="s">
        <v>18</v>
      </c>
    </row>
    <row r="19" spans="1:4" ht="18" customHeight="1" x14ac:dyDescent="0.25">
      <c r="A19" s="27"/>
      <c r="B19" s="27">
        <v>60</v>
      </c>
      <c r="C19" s="33" t="s">
        <v>22</v>
      </c>
      <c r="D19" s="27"/>
    </row>
    <row r="20" spans="1:4" ht="18" customHeight="1" x14ac:dyDescent="0.25">
      <c r="A20" s="27"/>
      <c r="B20" s="27">
        <v>110</v>
      </c>
      <c r="C20" s="36" t="s">
        <v>29</v>
      </c>
      <c r="D20" s="30"/>
    </row>
    <row r="21" spans="1:4" ht="18" customHeight="1" x14ac:dyDescent="0.25">
      <c r="A21" s="27"/>
      <c r="B21" s="27"/>
      <c r="C21" s="36"/>
      <c r="D21" s="30"/>
    </row>
    <row r="22" spans="1:4" ht="18" customHeight="1" x14ac:dyDescent="0.25">
      <c r="A22" s="27"/>
      <c r="B22" s="27"/>
      <c r="C22" s="35"/>
      <c r="D22" s="27"/>
    </row>
    <row r="23" spans="1:4" ht="18" customHeight="1" x14ac:dyDescent="0.25">
      <c r="A23" s="32"/>
      <c r="B23" s="32">
        <f>SUM(B18:B20)</f>
        <v>200</v>
      </c>
      <c r="C23" s="32"/>
      <c r="D23" s="32"/>
    </row>
    <row r="24" spans="1:4" ht="18" customHeight="1" x14ac:dyDescent="0.25">
      <c r="A24" s="26">
        <v>46283</v>
      </c>
      <c r="B24" s="27">
        <v>20</v>
      </c>
      <c r="C24" s="33" t="s">
        <v>28</v>
      </c>
      <c r="D24" s="27"/>
    </row>
    <row r="25" spans="1:4" ht="18" customHeight="1" x14ac:dyDescent="0.25">
      <c r="A25" s="27"/>
      <c r="B25" s="27">
        <v>65</v>
      </c>
      <c r="C25" s="35" t="s">
        <v>30</v>
      </c>
      <c r="D25" s="27"/>
    </row>
    <row r="26" spans="1:4" ht="18" customHeight="1" x14ac:dyDescent="0.25">
      <c r="A26" s="27"/>
      <c r="B26" s="27">
        <v>80</v>
      </c>
      <c r="C26" s="28" t="s">
        <v>31</v>
      </c>
      <c r="D26" s="30"/>
    </row>
    <row r="27" spans="1:4" ht="18" customHeight="1" x14ac:dyDescent="0.25">
      <c r="A27" s="27"/>
      <c r="B27" s="27">
        <v>35</v>
      </c>
      <c r="C27" s="28" t="s">
        <v>32</v>
      </c>
      <c r="D27" s="30"/>
    </row>
    <row r="28" spans="1:4" ht="18" customHeight="1" x14ac:dyDescent="0.25">
      <c r="A28" s="27"/>
      <c r="B28" s="27"/>
      <c r="C28" s="35"/>
      <c r="D28" s="27"/>
    </row>
    <row r="29" spans="1:4" ht="18" customHeight="1" x14ac:dyDescent="0.25">
      <c r="A29" s="32"/>
      <c r="B29" s="32">
        <f>SUM(B24,B25,B26,B27)</f>
        <v>200</v>
      </c>
      <c r="C29" s="32"/>
      <c r="D29" s="32"/>
    </row>
    <row r="30" spans="1:4" ht="18" customHeight="1" x14ac:dyDescent="0.25">
      <c r="A30" s="26">
        <v>46290</v>
      </c>
      <c r="B30" s="27">
        <v>70</v>
      </c>
      <c r="C30" s="35" t="s">
        <v>33</v>
      </c>
      <c r="D30" s="30"/>
    </row>
    <row r="31" spans="1:4" ht="18" customHeight="1" x14ac:dyDescent="0.25">
      <c r="A31" s="27"/>
      <c r="B31" s="27">
        <v>90</v>
      </c>
      <c r="C31" s="35" t="s">
        <v>34</v>
      </c>
      <c r="D31" s="30"/>
    </row>
    <row r="32" spans="1:4" ht="18" customHeight="1" x14ac:dyDescent="0.25">
      <c r="A32" s="27"/>
      <c r="B32" s="27">
        <v>40</v>
      </c>
      <c r="C32" s="35" t="s">
        <v>35</v>
      </c>
      <c r="D32" s="30"/>
    </row>
    <row r="33" spans="1:4" ht="18" customHeight="1" x14ac:dyDescent="0.25">
      <c r="A33" s="27"/>
      <c r="B33" s="27"/>
      <c r="C33" s="35"/>
      <c r="D33" s="30"/>
    </row>
    <row r="34" spans="1:4" ht="18" customHeight="1" x14ac:dyDescent="0.25">
      <c r="A34" s="27"/>
      <c r="B34" s="27"/>
      <c r="C34" s="35"/>
      <c r="D34" s="27"/>
    </row>
    <row r="35" spans="1:4" ht="18" customHeight="1" x14ac:dyDescent="0.25">
      <c r="A35" s="32"/>
      <c r="B35" s="32">
        <f>SUM(B30:B34)</f>
        <v>200</v>
      </c>
      <c r="C35" s="32"/>
      <c r="D35" s="32"/>
    </row>
    <row r="36" spans="1:4" ht="18" customHeight="1" x14ac:dyDescent="0.25">
      <c r="A36" s="26">
        <v>46297</v>
      </c>
      <c r="B36" s="27">
        <v>60</v>
      </c>
      <c r="C36" s="35" t="s">
        <v>36</v>
      </c>
      <c r="D36" s="27"/>
    </row>
    <row r="37" spans="1:4" ht="18" customHeight="1" x14ac:dyDescent="0.25">
      <c r="A37" s="27"/>
      <c r="B37" s="27">
        <v>35</v>
      </c>
      <c r="C37" s="35" t="s">
        <v>38</v>
      </c>
      <c r="D37" s="27"/>
    </row>
    <row r="38" spans="1:4" ht="18" customHeight="1" x14ac:dyDescent="0.25">
      <c r="A38" s="27"/>
      <c r="B38" s="27">
        <v>45</v>
      </c>
      <c r="C38" s="39" t="s">
        <v>37</v>
      </c>
      <c r="D38" s="30"/>
    </row>
    <row r="39" spans="1:4" ht="18" customHeight="1" x14ac:dyDescent="0.25">
      <c r="A39" s="27"/>
      <c r="B39" s="27">
        <v>45</v>
      </c>
      <c r="C39" s="37" t="s">
        <v>39</v>
      </c>
      <c r="D39" s="30"/>
    </row>
    <row r="40" spans="1:4" ht="18" customHeight="1" x14ac:dyDescent="0.25">
      <c r="A40" s="27"/>
      <c r="B40" s="27">
        <v>15</v>
      </c>
      <c r="C40" s="35" t="s">
        <v>40</v>
      </c>
      <c r="D40" s="27"/>
    </row>
    <row r="41" spans="1:4" ht="18" customHeight="1" x14ac:dyDescent="0.25">
      <c r="A41" s="32"/>
      <c r="B41" s="32">
        <f>SUM(B36:B40)</f>
        <v>200</v>
      </c>
      <c r="C41" s="32"/>
      <c r="D41" s="32"/>
    </row>
    <row r="42" spans="1:4" ht="18" customHeight="1" x14ac:dyDescent="0.25">
      <c r="A42" s="26">
        <v>46304</v>
      </c>
      <c r="B42" s="27">
        <v>45</v>
      </c>
      <c r="C42" s="33" t="s">
        <v>41</v>
      </c>
      <c r="D42" s="30"/>
    </row>
    <row r="43" spans="1:4" ht="18" customHeight="1" x14ac:dyDescent="0.25">
      <c r="A43" s="27"/>
      <c r="B43" s="27">
        <v>105</v>
      </c>
      <c r="C43" s="33" t="s">
        <v>42</v>
      </c>
      <c r="D43" s="30"/>
    </row>
    <row r="44" spans="1:4" ht="18" customHeight="1" x14ac:dyDescent="0.25">
      <c r="A44" s="27"/>
      <c r="B44" s="27">
        <v>35</v>
      </c>
      <c r="C44" s="33" t="s">
        <v>43</v>
      </c>
      <c r="D44" s="30"/>
    </row>
    <row r="45" spans="1:4" ht="18" customHeight="1" x14ac:dyDescent="0.25">
      <c r="A45" s="27"/>
      <c r="B45" s="27"/>
      <c r="C45" s="33"/>
      <c r="D45" s="30"/>
    </row>
    <row r="46" spans="1:4" ht="18" customHeight="1" x14ac:dyDescent="0.25">
      <c r="A46" s="27"/>
      <c r="B46" s="27"/>
      <c r="C46" s="35"/>
      <c r="D46" s="27"/>
    </row>
    <row r="47" spans="1:4" ht="18" customHeight="1" x14ac:dyDescent="0.25">
      <c r="A47" s="32"/>
      <c r="B47" s="32">
        <f>SUM(B42:B46)</f>
        <v>185</v>
      </c>
      <c r="C47" s="32"/>
      <c r="D47" s="32"/>
    </row>
    <row r="48" spans="1:4" ht="18" customHeight="1" x14ac:dyDescent="0.25">
      <c r="A48" s="26">
        <v>46308</v>
      </c>
      <c r="B48" s="41">
        <v>30</v>
      </c>
      <c r="C48" s="42" t="s">
        <v>46</v>
      </c>
      <c r="D48" s="30"/>
    </row>
    <row r="49" spans="1:4" ht="18" customHeight="1" x14ac:dyDescent="0.25">
      <c r="A49" s="27"/>
      <c r="B49" s="27">
        <v>60</v>
      </c>
      <c r="C49" s="33" t="s">
        <v>44</v>
      </c>
      <c r="D49" s="30"/>
    </row>
    <row r="50" spans="1:4" ht="18" customHeight="1" x14ac:dyDescent="0.25">
      <c r="A50" s="27"/>
      <c r="B50" s="27">
        <v>15</v>
      </c>
      <c r="C50" t="s">
        <v>45</v>
      </c>
      <c r="D50" s="30"/>
    </row>
    <row r="51" spans="1:4" ht="18" customHeight="1" x14ac:dyDescent="0.25">
      <c r="A51" s="27"/>
      <c r="B51" s="27"/>
      <c r="C51" s="33"/>
      <c r="D51" s="30"/>
    </row>
    <row r="52" spans="1:4" ht="18" customHeight="1" x14ac:dyDescent="0.25">
      <c r="A52" s="27"/>
      <c r="B52" s="27"/>
      <c r="C52" s="35"/>
      <c r="D52" s="27"/>
    </row>
    <row r="53" spans="1:4" ht="18" customHeight="1" x14ac:dyDescent="0.25">
      <c r="A53" s="32"/>
      <c r="B53" s="32">
        <f>SUM(B49:B52)</f>
        <v>75</v>
      </c>
      <c r="C53" s="32"/>
      <c r="D53" s="32"/>
    </row>
    <row r="54" spans="1:4" ht="18" customHeight="1" x14ac:dyDescent="0.25">
      <c r="A54" s="26">
        <v>46315</v>
      </c>
      <c r="B54" s="27">
        <v>60</v>
      </c>
      <c r="C54" s="33" t="s">
        <v>47</v>
      </c>
      <c r="D54" s="27"/>
    </row>
    <row r="55" spans="1:4" ht="18" customHeight="1" x14ac:dyDescent="0.25">
      <c r="A55" s="27"/>
      <c r="B55" s="27">
        <v>70</v>
      </c>
      <c r="C55" s="33" t="s">
        <v>48</v>
      </c>
      <c r="D55" s="27"/>
    </row>
    <row r="56" spans="1:4" ht="18" customHeight="1" x14ac:dyDescent="0.25">
      <c r="A56" s="27"/>
      <c r="B56" s="27">
        <v>40</v>
      </c>
      <c r="C56" s="33" t="s">
        <v>49</v>
      </c>
      <c r="D56" s="27"/>
    </row>
    <row r="57" spans="1:4" ht="18" customHeight="1" x14ac:dyDescent="0.25">
      <c r="A57" s="27"/>
      <c r="B57" s="27"/>
      <c r="C57" s="33"/>
      <c r="D57" s="27"/>
    </row>
    <row r="58" spans="1:4" ht="18" customHeight="1" x14ac:dyDescent="0.25">
      <c r="A58" s="27"/>
      <c r="B58" s="27"/>
      <c r="C58" s="35"/>
      <c r="D58" s="27"/>
    </row>
    <row r="59" spans="1:4" ht="18" customHeight="1" x14ac:dyDescent="0.25">
      <c r="A59" s="32"/>
      <c r="B59" s="32">
        <f>SUM(B54:B56)</f>
        <v>170</v>
      </c>
      <c r="C59" s="32"/>
      <c r="D59" s="32"/>
    </row>
    <row r="60" spans="1:4" ht="18" customHeight="1" x14ac:dyDescent="0.25">
      <c r="A60" s="26">
        <v>46316</v>
      </c>
      <c r="B60" s="27">
        <v>50</v>
      </c>
      <c r="C60" s="1" t="s">
        <v>50</v>
      </c>
      <c r="D60" s="30"/>
    </row>
    <row r="61" spans="1:4" ht="18" customHeight="1" x14ac:dyDescent="0.25">
      <c r="A61" s="27"/>
      <c r="B61" s="27">
        <v>30</v>
      </c>
      <c r="C61" s="43" t="s">
        <v>51</v>
      </c>
      <c r="D61" s="30"/>
    </row>
    <row r="62" spans="1:4" ht="18" customHeight="1" x14ac:dyDescent="0.25">
      <c r="A62" s="27"/>
      <c r="B62" s="27"/>
      <c r="C62" s="35"/>
      <c r="D62" s="30"/>
    </row>
    <row r="63" spans="1:4" ht="18" customHeight="1" x14ac:dyDescent="0.25">
      <c r="A63" s="27"/>
      <c r="B63" s="27"/>
      <c r="C63" s="35"/>
      <c r="D63" s="30"/>
    </row>
    <row r="64" spans="1:4" ht="18" customHeight="1" x14ac:dyDescent="0.25">
      <c r="A64" s="27"/>
      <c r="B64" s="27"/>
      <c r="C64" s="35"/>
      <c r="D64" s="27"/>
    </row>
    <row r="65" spans="1:4" x14ac:dyDescent="0.25">
      <c r="A65" s="32"/>
      <c r="B65" s="32">
        <f>SUM(B60:B61)</f>
        <v>80</v>
      </c>
      <c r="C65" s="32"/>
      <c r="D65" s="32"/>
    </row>
    <row r="66" spans="1:4" x14ac:dyDescent="0.25">
      <c r="A66" s="26">
        <v>46318</v>
      </c>
      <c r="B66" s="27">
        <v>70</v>
      </c>
      <c r="C66" s="35" t="s">
        <v>52</v>
      </c>
      <c r="D66" s="30"/>
    </row>
    <row r="67" spans="1:4" x14ac:dyDescent="0.25">
      <c r="A67" s="27"/>
      <c r="B67" s="27">
        <v>20</v>
      </c>
      <c r="C67" s="35" t="s">
        <v>53</v>
      </c>
      <c r="D67" s="30"/>
    </row>
    <row r="68" spans="1:4" x14ac:dyDescent="0.25">
      <c r="A68" s="27"/>
      <c r="B68" s="27"/>
      <c r="C68" s="35"/>
      <c r="D68" s="30"/>
    </row>
    <row r="69" spans="1:4" x14ac:dyDescent="0.25">
      <c r="A69" s="27"/>
      <c r="B69" s="27"/>
      <c r="C69" s="35"/>
      <c r="D69" s="30"/>
    </row>
    <row r="70" spans="1:4" x14ac:dyDescent="0.25">
      <c r="A70" s="27"/>
      <c r="B70" s="27"/>
      <c r="C70" s="35"/>
      <c r="D70" s="27"/>
    </row>
    <row r="71" spans="1:4" x14ac:dyDescent="0.25">
      <c r="A71" s="32"/>
      <c r="B71" s="32">
        <f>SUM(B66:B67)</f>
        <v>90</v>
      </c>
      <c r="C71" s="32"/>
      <c r="D71" s="32"/>
    </row>
    <row r="72" spans="1:4" x14ac:dyDescent="0.25">
      <c r="A72" s="26">
        <v>46320</v>
      </c>
      <c r="B72" s="27">
        <v>30</v>
      </c>
      <c r="C72" s="35" t="s">
        <v>54</v>
      </c>
      <c r="D72" s="27"/>
    </row>
    <row r="73" spans="1:4" x14ac:dyDescent="0.25">
      <c r="A73" s="27"/>
      <c r="B73" s="27">
        <v>15</v>
      </c>
      <c r="C73" s="35" t="s">
        <v>55</v>
      </c>
      <c r="D73" s="27"/>
    </row>
    <row r="74" spans="1:4" x14ac:dyDescent="0.25">
      <c r="A74" s="27"/>
      <c r="B74" s="27">
        <v>20</v>
      </c>
      <c r="C74" s="35" t="s">
        <v>56</v>
      </c>
      <c r="D74" s="27"/>
    </row>
    <row r="75" spans="1:4" x14ac:dyDescent="0.25">
      <c r="A75" s="27"/>
      <c r="B75" s="27"/>
      <c r="C75" s="35"/>
      <c r="D75" s="27"/>
    </row>
    <row r="76" spans="1:4" x14ac:dyDescent="0.25">
      <c r="A76" s="27"/>
      <c r="B76" s="27"/>
      <c r="C76" s="35"/>
      <c r="D76" s="27"/>
    </row>
    <row r="77" spans="1:4" x14ac:dyDescent="0.25">
      <c r="A77" s="32"/>
      <c r="B77" s="32">
        <f>SUM(B72:B74)</f>
        <v>65</v>
      </c>
      <c r="C77" s="32"/>
      <c r="D77" s="32"/>
    </row>
    <row r="78" spans="1:4" x14ac:dyDescent="0.25">
      <c r="A78" s="26">
        <v>46325</v>
      </c>
      <c r="B78" s="27">
        <v>60</v>
      </c>
      <c r="C78" s="35" t="s">
        <v>57</v>
      </c>
      <c r="D78" s="27"/>
    </row>
    <row r="79" spans="1:4" x14ac:dyDescent="0.25">
      <c r="A79" s="27"/>
      <c r="B79" s="27">
        <v>80</v>
      </c>
      <c r="C79" s="35" t="s">
        <v>58</v>
      </c>
      <c r="D79" s="27"/>
    </row>
    <row r="80" spans="1:4" x14ac:dyDescent="0.25">
      <c r="A80" s="27"/>
      <c r="B80" s="27">
        <v>270</v>
      </c>
      <c r="C80" s="35" t="s">
        <v>59</v>
      </c>
      <c r="D80" s="27"/>
    </row>
    <row r="81" spans="1:4" x14ac:dyDescent="0.25">
      <c r="A81" s="27"/>
      <c r="B81" s="27"/>
      <c r="C81" s="35"/>
      <c r="D81" s="27"/>
    </row>
    <row r="82" spans="1:4" x14ac:dyDescent="0.25">
      <c r="A82" s="27"/>
      <c r="B82" s="27"/>
      <c r="C82" s="35"/>
      <c r="D82" s="27"/>
    </row>
    <row r="83" spans="1:4" x14ac:dyDescent="0.25">
      <c r="A83" s="32"/>
      <c r="B83" s="32">
        <f>SUM(B78:B80)</f>
        <v>410</v>
      </c>
      <c r="C83" s="32"/>
      <c r="D83" s="32"/>
    </row>
    <row r="84" spans="1:4" x14ac:dyDescent="0.25">
      <c r="A84" s="26">
        <v>46326</v>
      </c>
      <c r="B84" s="27">
        <v>30</v>
      </c>
      <c r="C84" s="35" t="s">
        <v>60</v>
      </c>
      <c r="D84" s="27"/>
    </row>
    <row r="85" spans="1:4" x14ac:dyDescent="0.25">
      <c r="A85" s="27"/>
      <c r="B85" s="27">
        <v>60</v>
      </c>
      <c r="C85" s="35" t="s">
        <v>61</v>
      </c>
      <c r="D85" s="27"/>
    </row>
    <row r="86" spans="1:4" x14ac:dyDescent="0.25">
      <c r="A86" s="27"/>
      <c r="B86" s="27"/>
      <c r="C86" s="35"/>
      <c r="D86" s="27"/>
    </row>
    <row r="87" spans="1:4" x14ac:dyDescent="0.25">
      <c r="A87" s="27"/>
      <c r="B87" s="27"/>
      <c r="C87" s="35"/>
      <c r="D87" s="27"/>
    </row>
    <row r="88" spans="1:4" x14ac:dyDescent="0.25">
      <c r="A88" s="27"/>
      <c r="B88" s="27"/>
      <c r="C88" s="35"/>
      <c r="D88" s="27"/>
    </row>
    <row r="89" spans="1:4" x14ac:dyDescent="0.25">
      <c r="A89" s="32"/>
      <c r="B89" s="32">
        <f>SUM(B84:B85)</f>
        <v>90</v>
      </c>
      <c r="C89" s="32"/>
      <c r="D89" s="32"/>
    </row>
    <row r="90" spans="1:4" x14ac:dyDescent="0.25">
      <c r="A90" s="27"/>
      <c r="B90" s="27"/>
      <c r="C90" s="35"/>
      <c r="D90" s="27"/>
    </row>
    <row r="91" spans="1:4" x14ac:dyDescent="0.25">
      <c r="A91" s="27"/>
      <c r="B91" s="27"/>
      <c r="C91" s="35"/>
      <c r="D91" s="27"/>
    </row>
    <row r="92" spans="1:4" x14ac:dyDescent="0.25">
      <c r="A92" s="27"/>
      <c r="B92" s="27"/>
      <c r="C92" s="35"/>
      <c r="D92" s="27"/>
    </row>
    <row r="93" spans="1:4" x14ac:dyDescent="0.25">
      <c r="A93" s="27"/>
      <c r="B93" s="27"/>
      <c r="C93" s="38"/>
      <c r="D93" s="27"/>
    </row>
    <row r="94" spans="1:4" x14ac:dyDescent="0.25">
      <c r="A94" s="27"/>
      <c r="B94" s="27"/>
      <c r="C94" s="35"/>
      <c r="D94" s="27"/>
    </row>
    <row r="95" spans="1:4" x14ac:dyDescent="0.25">
      <c r="A95" s="32"/>
      <c r="B95" s="32"/>
      <c r="C95" s="32"/>
      <c r="D95" s="32"/>
    </row>
    <row r="96" spans="1:4" x14ac:dyDescent="0.25">
      <c r="A96" s="27"/>
      <c r="B96" s="27"/>
      <c r="C96" s="35"/>
      <c r="D96" s="27"/>
    </row>
    <row r="97" spans="1:4" x14ac:dyDescent="0.25">
      <c r="A97" s="27"/>
      <c r="B97" s="27"/>
      <c r="C97" s="35"/>
      <c r="D97" s="27"/>
    </row>
    <row r="98" spans="1:4" x14ac:dyDescent="0.25">
      <c r="A98" s="27"/>
      <c r="B98" s="27"/>
      <c r="C98" s="35"/>
      <c r="D98" s="27"/>
    </row>
    <row r="99" spans="1:4" x14ac:dyDescent="0.25">
      <c r="A99" s="27"/>
      <c r="B99" s="27"/>
      <c r="C99" s="35"/>
      <c r="D99" s="27"/>
    </row>
    <row r="100" spans="1:4" x14ac:dyDescent="0.25">
      <c r="A100" s="27"/>
      <c r="B100" s="27"/>
      <c r="C100" s="35"/>
      <c r="D100" s="27"/>
    </row>
    <row r="101" spans="1:4" x14ac:dyDescent="0.25">
      <c r="A101" s="32"/>
      <c r="B101" s="32"/>
      <c r="C101" s="32"/>
      <c r="D101" s="32"/>
    </row>
    <row r="102" spans="1:4" x14ac:dyDescent="0.25">
      <c r="A102" s="27"/>
      <c r="B102" s="27"/>
      <c r="C102" s="35"/>
      <c r="D102" s="27"/>
    </row>
    <row r="103" spans="1:4" x14ac:dyDescent="0.25">
      <c r="A103" s="27"/>
      <c r="B103" s="27"/>
      <c r="C103" s="35"/>
      <c r="D103" s="27"/>
    </row>
    <row r="104" spans="1:4" x14ac:dyDescent="0.25">
      <c r="A104" s="27"/>
      <c r="B104" s="27"/>
      <c r="C104" s="35"/>
      <c r="D104" s="27"/>
    </row>
    <row r="105" spans="1:4" x14ac:dyDescent="0.25">
      <c r="A105" s="27"/>
      <c r="B105" s="27"/>
      <c r="C105" s="35"/>
      <c r="D105" s="27"/>
    </row>
    <row r="106" spans="1:4" x14ac:dyDescent="0.25">
      <c r="A106" s="27"/>
      <c r="B106" s="27"/>
      <c r="C106" s="35"/>
      <c r="D106" s="27"/>
    </row>
    <row r="107" spans="1:4" x14ac:dyDescent="0.25">
      <c r="A107" s="32"/>
      <c r="B107" s="32"/>
      <c r="C107" s="32"/>
      <c r="D107" s="32"/>
    </row>
    <row r="108" spans="1:4" x14ac:dyDescent="0.25">
      <c r="A108" s="27"/>
      <c r="B108" s="27"/>
      <c r="C108" s="35"/>
      <c r="D108" s="27"/>
    </row>
    <row r="109" spans="1:4" x14ac:dyDescent="0.25">
      <c r="A109" s="27"/>
      <c r="B109" s="27"/>
      <c r="C109" s="35"/>
      <c r="D109" s="27"/>
    </row>
    <row r="110" spans="1:4" x14ac:dyDescent="0.25">
      <c r="A110" s="27"/>
      <c r="B110" s="27"/>
      <c r="C110" s="35"/>
      <c r="D110" s="27"/>
    </row>
    <row r="111" spans="1:4" x14ac:dyDescent="0.25">
      <c r="A111" s="27"/>
      <c r="B111" s="27"/>
      <c r="C111" s="35"/>
      <c r="D111" s="27"/>
    </row>
    <row r="112" spans="1:4" x14ac:dyDescent="0.25">
      <c r="A112" s="27"/>
      <c r="B112" s="27"/>
      <c r="C112" s="35"/>
      <c r="D112" s="27"/>
    </row>
    <row r="113" spans="1:4" x14ac:dyDescent="0.25">
      <c r="A113" s="32"/>
      <c r="B113" s="32"/>
      <c r="C113" s="32"/>
      <c r="D113" s="32"/>
    </row>
    <row r="114" spans="1:4" x14ac:dyDescent="0.25">
      <c r="A114" s="27"/>
      <c r="B114" s="27"/>
      <c r="C114" s="35"/>
      <c r="D114" s="27"/>
    </row>
    <row r="115" spans="1:4" x14ac:dyDescent="0.25">
      <c r="A115" s="27"/>
      <c r="B115" s="27"/>
      <c r="C115" s="35"/>
      <c r="D115" s="27"/>
    </row>
    <row r="116" spans="1:4" x14ac:dyDescent="0.25">
      <c r="A116" s="27"/>
      <c r="B116" s="27"/>
      <c r="C116" s="35"/>
      <c r="D116" s="27"/>
    </row>
    <row r="117" spans="1:4" x14ac:dyDescent="0.25">
      <c r="A117" s="27"/>
      <c r="B117" s="27"/>
      <c r="C117" s="38"/>
      <c r="D117" s="27"/>
    </row>
    <row r="118" spans="1:4" x14ac:dyDescent="0.25">
      <c r="A118" s="27"/>
      <c r="B118" s="27"/>
      <c r="C118" s="35"/>
      <c r="D118" s="27"/>
    </row>
    <row r="119" spans="1:4" x14ac:dyDescent="0.25">
      <c r="A119" s="32"/>
      <c r="B119" s="32"/>
      <c r="C119" s="32"/>
      <c r="D119" s="32"/>
    </row>
    <row r="120" spans="1:4" x14ac:dyDescent="0.25">
      <c r="A120" s="27"/>
      <c r="B120" s="27"/>
      <c r="C120" s="35"/>
      <c r="D120" s="27"/>
    </row>
    <row r="121" spans="1:4" x14ac:dyDescent="0.25">
      <c r="A121" s="27"/>
      <c r="B121" s="27"/>
      <c r="C121" s="35"/>
      <c r="D121" s="27"/>
    </row>
    <row r="122" spans="1:4" x14ac:dyDescent="0.25">
      <c r="A122" s="27"/>
      <c r="B122" s="27"/>
      <c r="C122" s="35"/>
      <c r="D122" s="27"/>
    </row>
    <row r="123" spans="1:4" x14ac:dyDescent="0.25">
      <c r="A123" s="27"/>
      <c r="B123" s="27"/>
      <c r="C123" s="35"/>
      <c r="D123" s="27"/>
    </row>
    <row r="124" spans="1:4" x14ac:dyDescent="0.25">
      <c r="A124" s="27"/>
      <c r="B124" s="27"/>
      <c r="C124" s="35"/>
      <c r="D124" s="27"/>
    </row>
    <row r="125" spans="1:4" x14ac:dyDescent="0.25">
      <c r="A125" s="32"/>
      <c r="B125" s="32"/>
      <c r="C125" s="32"/>
      <c r="D125" s="32"/>
    </row>
    <row r="126" spans="1:4" x14ac:dyDescent="0.25">
      <c r="A126" s="27"/>
      <c r="B126" s="27"/>
      <c r="C126" s="35"/>
      <c r="D126" s="27"/>
    </row>
    <row r="127" spans="1:4" x14ac:dyDescent="0.25">
      <c r="A127" s="27"/>
      <c r="B127" s="27"/>
      <c r="C127" s="35"/>
      <c r="D127" s="27"/>
    </row>
    <row r="128" spans="1:4" x14ac:dyDescent="0.25">
      <c r="A128" s="27"/>
      <c r="B128" s="27"/>
      <c r="C128" s="35"/>
      <c r="D128" s="27"/>
    </row>
    <row r="129" spans="1:4" x14ac:dyDescent="0.25">
      <c r="A129" s="27"/>
      <c r="B129" s="27"/>
      <c r="C129" s="35"/>
      <c r="D129" s="27"/>
    </row>
    <row r="130" spans="1:4" x14ac:dyDescent="0.25">
      <c r="A130" s="27"/>
      <c r="B130" s="27"/>
      <c r="C130" s="35"/>
      <c r="D130" s="27"/>
    </row>
    <row r="131" spans="1:4" x14ac:dyDescent="0.25">
      <c r="A131" s="32"/>
      <c r="B131" s="32"/>
      <c r="C131" s="32"/>
      <c r="D131" s="32"/>
    </row>
    <row r="132" spans="1:4" x14ac:dyDescent="0.25">
      <c r="A132" s="27"/>
      <c r="B132" s="27"/>
      <c r="C132" s="35"/>
      <c r="D132" s="27"/>
    </row>
    <row r="133" spans="1:4" x14ac:dyDescent="0.25">
      <c r="A133" s="27"/>
      <c r="B133" s="27"/>
      <c r="C133" s="35"/>
      <c r="D133" s="27"/>
    </row>
    <row r="134" spans="1:4" x14ac:dyDescent="0.25">
      <c r="A134" s="27"/>
      <c r="B134" s="27"/>
      <c r="C134" s="35"/>
      <c r="D134" s="27"/>
    </row>
    <row r="135" spans="1:4" x14ac:dyDescent="0.25">
      <c r="A135" s="27"/>
      <c r="B135" s="27"/>
      <c r="C135" s="35"/>
      <c r="D135" s="27"/>
    </row>
    <row r="136" spans="1:4" x14ac:dyDescent="0.25">
      <c r="A136" s="27"/>
      <c r="B136" s="27"/>
      <c r="C136" s="35"/>
      <c r="D136" s="27"/>
    </row>
    <row r="137" spans="1:4" x14ac:dyDescent="0.25">
      <c r="A137" s="32"/>
      <c r="B137" s="32"/>
      <c r="C137" s="32"/>
      <c r="D137" s="32"/>
    </row>
    <row r="138" spans="1:4" x14ac:dyDescent="0.25">
      <c r="A138" s="27"/>
      <c r="B138" s="27"/>
      <c r="C138" s="35"/>
      <c r="D138" s="27"/>
    </row>
    <row r="139" spans="1:4" x14ac:dyDescent="0.25">
      <c r="A139" s="27"/>
      <c r="B139" s="27"/>
      <c r="C139" s="35"/>
      <c r="D139" s="27"/>
    </row>
    <row r="140" spans="1:4" x14ac:dyDescent="0.25">
      <c r="A140" s="27"/>
      <c r="B140" s="27"/>
      <c r="C140" s="35"/>
      <c r="D140" s="27"/>
    </row>
    <row r="141" spans="1:4" x14ac:dyDescent="0.25">
      <c r="A141" s="27"/>
      <c r="B141" s="27"/>
      <c r="C141" s="38"/>
      <c r="D141" s="27"/>
    </row>
    <row r="142" spans="1:4" x14ac:dyDescent="0.25">
      <c r="A142" s="27"/>
      <c r="B142" s="27"/>
      <c r="C142" s="35"/>
      <c r="D142" s="27"/>
    </row>
    <row r="143" spans="1:4" x14ac:dyDescent="0.25">
      <c r="A143" s="32"/>
      <c r="B143" s="32"/>
      <c r="C143" s="32"/>
      <c r="D143" s="32"/>
    </row>
    <row r="144" spans="1:4" x14ac:dyDescent="0.25">
      <c r="A144" s="27"/>
      <c r="B144" s="27"/>
      <c r="C144" s="35"/>
      <c r="D144" s="27"/>
    </row>
    <row r="145" spans="1:4" x14ac:dyDescent="0.25">
      <c r="A145" s="27"/>
      <c r="B145" s="27"/>
      <c r="C145" s="35"/>
      <c r="D145" s="27"/>
    </row>
    <row r="146" spans="1:4" x14ac:dyDescent="0.25">
      <c r="A146" s="27"/>
      <c r="B146" s="27"/>
      <c r="C146" s="35"/>
      <c r="D146" s="27"/>
    </row>
    <row r="147" spans="1:4" x14ac:dyDescent="0.25">
      <c r="A147" s="27"/>
      <c r="B147" s="27"/>
      <c r="C147" s="35"/>
      <c r="D147" s="27"/>
    </row>
    <row r="148" spans="1:4" x14ac:dyDescent="0.25">
      <c r="A148" s="27"/>
      <c r="B148" s="27"/>
      <c r="C148" s="35"/>
      <c r="D148" s="27"/>
    </row>
    <row r="149" spans="1:4" x14ac:dyDescent="0.25">
      <c r="A149" s="32"/>
      <c r="B149" s="32"/>
      <c r="C149" s="32"/>
      <c r="D149" s="32"/>
    </row>
    <row r="150" spans="1:4" x14ac:dyDescent="0.25">
      <c r="A150" s="27"/>
      <c r="B150" s="27"/>
      <c r="C150" s="35"/>
      <c r="D150" s="27"/>
    </row>
    <row r="151" spans="1:4" x14ac:dyDescent="0.25">
      <c r="A151" s="27"/>
      <c r="B151" s="27"/>
      <c r="C151" s="35"/>
      <c r="D151" s="27"/>
    </row>
    <row r="152" spans="1:4" x14ac:dyDescent="0.25">
      <c r="A152" s="27"/>
      <c r="B152" s="27"/>
      <c r="C152" s="35"/>
      <c r="D152" s="27"/>
    </row>
    <row r="153" spans="1:4" x14ac:dyDescent="0.25">
      <c r="A153" s="27"/>
      <c r="B153" s="27"/>
      <c r="C153" s="35"/>
      <c r="D153" s="27"/>
    </row>
    <row r="154" spans="1:4" x14ac:dyDescent="0.25">
      <c r="A154" s="27"/>
      <c r="B154" s="27"/>
      <c r="C154" s="35"/>
      <c r="D154" s="27"/>
    </row>
    <row r="155" spans="1:4" x14ac:dyDescent="0.25">
      <c r="A155" s="32"/>
      <c r="B155" s="32"/>
      <c r="C155" s="32"/>
      <c r="D155" s="32"/>
    </row>
    <row r="156" spans="1:4" x14ac:dyDescent="0.25">
      <c r="A156" s="27"/>
      <c r="B156" s="27"/>
      <c r="C156" s="35"/>
      <c r="D156" s="27"/>
    </row>
    <row r="157" spans="1:4" x14ac:dyDescent="0.25">
      <c r="A157" s="27"/>
      <c r="B157" s="27"/>
      <c r="C157" s="35"/>
      <c r="D157" s="27"/>
    </row>
    <row r="158" spans="1:4" x14ac:dyDescent="0.25">
      <c r="A158" s="27"/>
      <c r="B158" s="27"/>
      <c r="C158" s="35"/>
      <c r="D158" s="27"/>
    </row>
    <row r="159" spans="1:4" x14ac:dyDescent="0.25">
      <c r="A159" s="27"/>
      <c r="B159" s="27"/>
      <c r="C159" s="35"/>
      <c r="D159" s="27"/>
    </row>
    <row r="160" spans="1:4" x14ac:dyDescent="0.25">
      <c r="A160" s="27"/>
      <c r="B160" s="27"/>
      <c r="C160" s="35"/>
      <c r="D160" s="27"/>
    </row>
    <row r="161" spans="1:4" x14ac:dyDescent="0.25">
      <c r="A161" s="32"/>
      <c r="B161" s="32"/>
      <c r="C161" s="32"/>
      <c r="D161" s="32"/>
    </row>
    <row r="162" spans="1:4" x14ac:dyDescent="0.25">
      <c r="A162" s="27"/>
      <c r="B162" s="27"/>
      <c r="C162" s="35"/>
      <c r="D162" s="27"/>
    </row>
    <row r="163" spans="1:4" x14ac:dyDescent="0.25">
      <c r="A163" s="27"/>
      <c r="B163" s="27"/>
      <c r="C163" s="35"/>
      <c r="D163" s="27"/>
    </row>
    <row r="164" spans="1:4" x14ac:dyDescent="0.25">
      <c r="A164" s="27"/>
      <c r="B164" s="27"/>
      <c r="C164" s="35"/>
      <c r="D164" s="27"/>
    </row>
    <row r="165" spans="1:4" x14ac:dyDescent="0.25">
      <c r="A165" s="27"/>
      <c r="B165" s="27"/>
      <c r="C165" s="38"/>
      <c r="D165" s="27"/>
    </row>
    <row r="166" spans="1:4" x14ac:dyDescent="0.25">
      <c r="A166" s="27"/>
      <c r="B166" s="27"/>
      <c r="C166" s="35"/>
      <c r="D166" s="27"/>
    </row>
    <row r="167" spans="1:4" x14ac:dyDescent="0.25">
      <c r="A167" s="32"/>
      <c r="B167" s="32"/>
      <c r="C167" s="32"/>
      <c r="D167" s="32"/>
    </row>
    <row r="168" spans="1:4" x14ac:dyDescent="0.25">
      <c r="A168" s="27"/>
      <c r="B168" s="27"/>
      <c r="C168" s="35"/>
      <c r="D168" s="27"/>
    </row>
    <row r="169" spans="1:4" x14ac:dyDescent="0.25">
      <c r="A169" s="27"/>
      <c r="B169" s="27"/>
      <c r="C169" s="35"/>
      <c r="D169" s="27"/>
    </row>
    <row r="170" spans="1:4" x14ac:dyDescent="0.25">
      <c r="A170" s="27"/>
      <c r="B170" s="27"/>
      <c r="C170" s="35"/>
      <c r="D170" s="27"/>
    </row>
    <row r="171" spans="1:4" x14ac:dyDescent="0.25">
      <c r="A171" s="27"/>
      <c r="B171" s="27"/>
      <c r="C171" s="35"/>
      <c r="D171" s="27"/>
    </row>
    <row r="172" spans="1:4" x14ac:dyDescent="0.25">
      <c r="A172" s="27"/>
      <c r="B172" s="27"/>
      <c r="C172" s="35"/>
      <c r="D172" s="27"/>
    </row>
    <row r="173" spans="1:4" x14ac:dyDescent="0.25">
      <c r="A173" s="32"/>
      <c r="B173" s="32"/>
      <c r="C173" s="32"/>
      <c r="D173" s="32"/>
    </row>
    <row r="174" spans="1:4" x14ac:dyDescent="0.25">
      <c r="A174" s="27"/>
      <c r="B174" s="27"/>
      <c r="C174" s="35"/>
      <c r="D174" s="27"/>
    </row>
    <row r="175" spans="1:4" x14ac:dyDescent="0.25">
      <c r="A175" s="27"/>
      <c r="B175" s="27"/>
      <c r="C175" s="35"/>
      <c r="D175" s="27"/>
    </row>
    <row r="176" spans="1:4" x14ac:dyDescent="0.25">
      <c r="A176" s="27"/>
      <c r="B176" s="27"/>
      <c r="C176" s="35"/>
      <c r="D176" s="27"/>
    </row>
    <row r="177" spans="1:4" x14ac:dyDescent="0.25">
      <c r="A177" s="27"/>
      <c r="B177" s="27"/>
      <c r="C177" s="35"/>
      <c r="D177" s="27"/>
    </row>
    <row r="178" spans="1:4" x14ac:dyDescent="0.25">
      <c r="A178" s="27"/>
      <c r="B178" s="27"/>
      <c r="C178" s="35"/>
      <c r="D178" s="27"/>
    </row>
    <row r="179" spans="1:4" x14ac:dyDescent="0.25">
      <c r="A179" s="32"/>
      <c r="B179" s="32"/>
      <c r="C179" s="32"/>
      <c r="D179" s="32"/>
    </row>
    <row r="180" spans="1:4" x14ac:dyDescent="0.25">
      <c r="A180" s="27"/>
      <c r="B180" s="27"/>
      <c r="C180" s="35"/>
      <c r="D180" s="27"/>
    </row>
    <row r="181" spans="1:4" x14ac:dyDescent="0.25">
      <c r="A181" s="27"/>
      <c r="B181" s="27"/>
      <c r="C181" s="35"/>
      <c r="D181" s="27"/>
    </row>
    <row r="182" spans="1:4" x14ac:dyDescent="0.25">
      <c r="A182" s="27"/>
      <c r="B182" s="27"/>
      <c r="C182" s="35"/>
      <c r="D182" s="27"/>
    </row>
    <row r="183" spans="1:4" x14ac:dyDescent="0.25">
      <c r="A183" s="27"/>
      <c r="B183" s="27"/>
      <c r="C183" s="35"/>
      <c r="D183" s="27"/>
    </row>
    <row r="184" spans="1:4" x14ac:dyDescent="0.25">
      <c r="A184" s="27"/>
      <c r="B184" s="27"/>
      <c r="C184" s="35"/>
      <c r="D184" s="27"/>
    </row>
    <row r="185" spans="1:4" x14ac:dyDescent="0.25">
      <c r="A185" s="32"/>
      <c r="B185" s="32"/>
      <c r="C185" s="32"/>
      <c r="D185" s="32"/>
    </row>
    <row r="186" spans="1:4" x14ac:dyDescent="0.25">
      <c r="A186" s="27"/>
      <c r="B186" s="27"/>
      <c r="C186" s="35"/>
      <c r="D186" s="27"/>
    </row>
    <row r="187" spans="1:4" x14ac:dyDescent="0.25">
      <c r="A187" s="27"/>
      <c r="B187" s="27"/>
      <c r="C187" s="35"/>
      <c r="D187" s="27"/>
    </row>
    <row r="188" spans="1:4" x14ac:dyDescent="0.25">
      <c r="A188" s="27"/>
      <c r="B188" s="27"/>
      <c r="C188" s="35"/>
      <c r="D188" s="27"/>
    </row>
    <row r="189" spans="1:4" x14ac:dyDescent="0.25">
      <c r="A189" s="27"/>
      <c r="B189" s="27"/>
      <c r="C189" s="38"/>
      <c r="D189" s="27"/>
    </row>
    <row r="190" spans="1:4" x14ac:dyDescent="0.25">
      <c r="A190" s="27"/>
      <c r="B190" s="27"/>
      <c r="C190" s="35"/>
      <c r="D190" s="27"/>
    </row>
    <row r="191" spans="1:4" x14ac:dyDescent="0.25">
      <c r="A191" s="32"/>
      <c r="B191" s="32"/>
      <c r="C191" s="32"/>
      <c r="D191" s="32"/>
    </row>
    <row r="192" spans="1:4" x14ac:dyDescent="0.25">
      <c r="A192" s="27"/>
      <c r="B192" s="27"/>
      <c r="C192" s="35"/>
      <c r="D192" s="27"/>
    </row>
    <row r="193" spans="1:4" x14ac:dyDescent="0.25">
      <c r="A193" s="27"/>
      <c r="B193" s="27"/>
      <c r="C193" s="35"/>
      <c r="D193" s="27"/>
    </row>
    <row r="194" spans="1:4" x14ac:dyDescent="0.25">
      <c r="A194" s="27"/>
      <c r="B194" s="27"/>
      <c r="C194" s="35"/>
      <c r="D194" s="27"/>
    </row>
    <row r="195" spans="1:4" x14ac:dyDescent="0.25">
      <c r="A195" s="27"/>
      <c r="B195" s="27"/>
      <c r="C195" s="35"/>
      <c r="D195" s="27"/>
    </row>
    <row r="196" spans="1:4" x14ac:dyDescent="0.25">
      <c r="A196" s="27"/>
      <c r="B196" s="27"/>
      <c r="C196" s="35"/>
      <c r="D196" s="27"/>
    </row>
    <row r="197" spans="1:4" x14ac:dyDescent="0.25">
      <c r="A197" s="32"/>
      <c r="B197" s="32"/>
      <c r="C197" s="32"/>
      <c r="D197" s="32"/>
    </row>
    <row r="198" spans="1:4" x14ac:dyDescent="0.25">
      <c r="A198" s="27"/>
      <c r="B198" s="27"/>
      <c r="C198" s="35"/>
      <c r="D198" s="27"/>
    </row>
    <row r="199" spans="1:4" x14ac:dyDescent="0.25">
      <c r="A199" s="27"/>
      <c r="B199" s="27"/>
      <c r="C199" s="35"/>
      <c r="D199" s="27"/>
    </row>
    <row r="200" spans="1:4" x14ac:dyDescent="0.25">
      <c r="A200" s="27"/>
      <c r="B200" s="27"/>
      <c r="C200" s="35"/>
      <c r="D200" s="27"/>
    </row>
    <row r="201" spans="1:4" x14ac:dyDescent="0.25">
      <c r="A201" s="27"/>
      <c r="B201" s="27"/>
      <c r="C201" s="35"/>
      <c r="D201" s="27"/>
    </row>
    <row r="202" spans="1:4" x14ac:dyDescent="0.25">
      <c r="A202" s="27"/>
      <c r="B202" s="27"/>
      <c r="C202" s="35"/>
      <c r="D202" s="27"/>
    </row>
    <row r="203" spans="1:4" x14ac:dyDescent="0.25">
      <c r="A203" s="32"/>
      <c r="B203" s="32"/>
      <c r="C203" s="32"/>
      <c r="D203" s="32"/>
    </row>
    <row r="204" spans="1:4" x14ac:dyDescent="0.25">
      <c r="A204" s="27"/>
      <c r="B204" s="27"/>
      <c r="C204" s="35"/>
      <c r="D204" s="27"/>
    </row>
    <row r="205" spans="1:4" x14ac:dyDescent="0.25">
      <c r="A205" s="27"/>
      <c r="B205" s="27"/>
      <c r="C205" s="35"/>
      <c r="D205" s="27"/>
    </row>
    <row r="206" spans="1:4" x14ac:dyDescent="0.25">
      <c r="A206" s="27"/>
      <c r="B206" s="27"/>
      <c r="C206" s="35"/>
      <c r="D206" s="27"/>
    </row>
    <row r="207" spans="1:4" x14ac:dyDescent="0.25">
      <c r="A207" s="27"/>
      <c r="B207" s="27"/>
      <c r="C207" s="35"/>
      <c r="D207" s="27"/>
    </row>
    <row r="208" spans="1:4" x14ac:dyDescent="0.25">
      <c r="A208" s="27"/>
      <c r="B208" s="27"/>
      <c r="C208" s="35"/>
      <c r="D208" s="27"/>
    </row>
    <row r="209" spans="1:4" x14ac:dyDescent="0.25">
      <c r="A209" s="32"/>
      <c r="B209" s="32"/>
      <c r="C209" s="32"/>
      <c r="D209" s="32"/>
    </row>
    <row r="210" spans="1:4" x14ac:dyDescent="0.25">
      <c r="A210" s="27"/>
      <c r="B210" s="27"/>
      <c r="C210" s="35"/>
      <c r="D210" s="27"/>
    </row>
    <row r="211" spans="1:4" x14ac:dyDescent="0.25">
      <c r="A211" s="27"/>
      <c r="B211" s="27"/>
      <c r="C211" s="35"/>
      <c r="D211" s="27"/>
    </row>
    <row r="212" spans="1:4" x14ac:dyDescent="0.25">
      <c r="A212" s="27"/>
      <c r="B212" s="27"/>
      <c r="C212" s="35"/>
      <c r="D212" s="27"/>
    </row>
    <row r="213" spans="1:4" x14ac:dyDescent="0.25">
      <c r="A213" s="27"/>
      <c r="B213" s="27"/>
      <c r="C213" s="38"/>
      <c r="D213" s="27"/>
    </row>
    <row r="214" spans="1:4" x14ac:dyDescent="0.25">
      <c r="A214" s="27"/>
      <c r="B214" s="27"/>
      <c r="C214" s="35"/>
      <c r="D214" s="27"/>
    </row>
    <row r="215" spans="1:4" x14ac:dyDescent="0.25">
      <c r="A215" s="32"/>
      <c r="B215" s="32"/>
      <c r="C215" s="32"/>
      <c r="D215" s="32"/>
    </row>
    <row r="216" spans="1:4" x14ac:dyDescent="0.25">
      <c r="A216" s="27"/>
      <c r="B216" s="27"/>
      <c r="C216" s="35"/>
      <c r="D216" s="27"/>
    </row>
    <row r="217" spans="1:4" x14ac:dyDescent="0.25">
      <c r="A217" s="27"/>
      <c r="B217" s="27"/>
      <c r="C217" s="35"/>
      <c r="D217" s="27"/>
    </row>
    <row r="218" spans="1:4" x14ac:dyDescent="0.25">
      <c r="A218" s="27"/>
      <c r="B218" s="27"/>
      <c r="C218" s="35"/>
      <c r="D218" s="27"/>
    </row>
    <row r="219" spans="1:4" x14ac:dyDescent="0.25">
      <c r="A219" s="27"/>
      <c r="B219" s="27"/>
      <c r="C219" s="35"/>
      <c r="D219" s="27"/>
    </row>
    <row r="220" spans="1:4" x14ac:dyDescent="0.25">
      <c r="A220" s="27"/>
      <c r="B220" s="27"/>
      <c r="C220" s="35"/>
      <c r="D220" s="27"/>
    </row>
    <row r="221" spans="1:4" x14ac:dyDescent="0.25">
      <c r="A221" s="32"/>
      <c r="B221" s="32"/>
      <c r="C221" s="32"/>
      <c r="D221" s="32"/>
    </row>
    <row r="222" spans="1:4" x14ac:dyDescent="0.25">
      <c r="A222" s="27"/>
      <c r="B222" s="27"/>
      <c r="C222" s="35"/>
      <c r="D222" s="27"/>
    </row>
    <row r="223" spans="1:4" x14ac:dyDescent="0.25">
      <c r="A223" s="27"/>
      <c r="B223" s="27"/>
      <c r="C223" s="35"/>
      <c r="D223" s="27"/>
    </row>
    <row r="224" spans="1:4" x14ac:dyDescent="0.25">
      <c r="A224" s="27"/>
      <c r="B224" s="27"/>
      <c r="C224" s="35"/>
      <c r="D224" s="27"/>
    </row>
    <row r="225" spans="1:4" x14ac:dyDescent="0.25">
      <c r="A225" s="27"/>
      <c r="B225" s="27"/>
      <c r="C225" s="35"/>
      <c r="D225" s="27"/>
    </row>
    <row r="226" spans="1:4" x14ac:dyDescent="0.25">
      <c r="A226" s="27"/>
      <c r="B226" s="27"/>
      <c r="C226" s="35"/>
      <c r="D226" s="27"/>
    </row>
    <row r="227" spans="1:4" x14ac:dyDescent="0.25">
      <c r="A227" s="32"/>
      <c r="B227" s="32"/>
      <c r="C227" s="32"/>
      <c r="D227" s="32"/>
    </row>
    <row r="228" spans="1:4" x14ac:dyDescent="0.25">
      <c r="A228" s="27"/>
      <c r="B228" s="27"/>
      <c r="C228" s="35"/>
      <c r="D228" s="27"/>
    </row>
    <row r="229" spans="1:4" x14ac:dyDescent="0.25">
      <c r="A229" s="27"/>
      <c r="B229" s="27"/>
      <c r="C229" s="35"/>
      <c r="D229" s="27"/>
    </row>
    <row r="230" spans="1:4" x14ac:dyDescent="0.25">
      <c r="A230" s="27"/>
      <c r="B230" s="27"/>
      <c r="C230" s="35"/>
      <c r="D230" s="27"/>
    </row>
    <row r="231" spans="1:4" x14ac:dyDescent="0.25">
      <c r="A231" s="11"/>
      <c r="B231" s="6"/>
      <c r="C231" s="7"/>
      <c r="D231" s="6"/>
    </row>
    <row r="232" spans="1:4" ht="13.8" thickBot="1" x14ac:dyDescent="0.3">
      <c r="A232" s="12"/>
      <c r="B232" s="4"/>
      <c r="C232" s="5"/>
      <c r="D232" s="4"/>
    </row>
    <row r="233" spans="1:4" ht="13.8" thickBot="1" x14ac:dyDescent="0.3">
      <c r="A233" s="13"/>
      <c r="B233" s="14"/>
      <c r="C233" s="14"/>
      <c r="D233" s="15"/>
    </row>
    <row r="234" spans="1:4" x14ac:dyDescent="0.25">
      <c r="A234" s="17"/>
      <c r="B234" s="6"/>
      <c r="C234" s="7"/>
      <c r="D234" s="6"/>
    </row>
    <row r="235" spans="1:4" x14ac:dyDescent="0.25">
      <c r="A235" s="11"/>
      <c r="B235" s="2"/>
      <c r="C235" s="3"/>
      <c r="D235" s="2"/>
    </row>
    <row r="236" spans="1:4" x14ac:dyDescent="0.25">
      <c r="A236" s="11"/>
      <c r="B236" s="2"/>
      <c r="C236" s="3"/>
      <c r="D236" s="2"/>
    </row>
    <row r="237" spans="1:4" x14ac:dyDescent="0.25">
      <c r="A237" s="11"/>
      <c r="B237" s="2"/>
      <c r="C237" s="18"/>
      <c r="D237" s="2"/>
    </row>
    <row r="238" spans="1:4" ht="13.8" thickBot="1" x14ac:dyDescent="0.3">
      <c r="A238" s="12"/>
      <c r="B238" s="2"/>
      <c r="C238" s="3"/>
      <c r="D238" s="2"/>
    </row>
    <row r="239" spans="1:4" ht="13.8" thickBot="1" x14ac:dyDescent="0.3">
      <c r="A239" s="13"/>
      <c r="B239" s="14"/>
      <c r="C239" s="14"/>
      <c r="D239" s="15"/>
    </row>
    <row r="240" spans="1:4" ht="15.6" thickBot="1" x14ac:dyDescent="0.3">
      <c r="A240" s="16"/>
      <c r="B240" s="8">
        <f>MROUND(SUM(B174:B239) /60,0.2)</f>
        <v>0</v>
      </c>
      <c r="C240" s="9"/>
      <c r="D240" s="10"/>
    </row>
  </sheetData>
  <mergeCells count="3">
    <mergeCell ref="B1:C1"/>
    <mergeCell ref="B2:C2"/>
    <mergeCell ref="B3:C3"/>
  </mergeCells>
  <dataValidations count="2">
    <dataValidation type="whole" operator="greaterThan" allowBlank="1" showInputMessage="1" showErrorMessage="1" errorTitle="Durée par tranche de 10min" error="Le nombre doit être de type entier" sqref="B42:B46 B234:B238 B36:B40 B18:B22 A6 B12:B16 B228:B232 B60:B64 B6:B10 B24:B28 B30:B34 B54:B58 B72:B76 B66:B70 B84:B88 B78:B82 B96:B100 B90:B94 B114:B118 B108:B112 B126:B130 B120:B124 B138:B142 B132:B136 B150:B154 B144:B148 B162:B166 B156:B160 B174:B178 B168:B172 B186:B190 B180:B184 B198:B202 B192:B196 B210:B214 B204:B208 B222:B226 B216:B220 B102:B106 B49:B52" xr:uid="{345ABA8F-B69F-4AFC-9D0E-D2AB0ACDE277}">
      <formula1>0</formula1>
    </dataValidation>
    <dataValidation type="date" operator="greaterThan" allowBlank="1" showInputMessage="1" showErrorMessage="1" errorTitle="Durée par tranche de 10min" error="Le nombre doit être de type entier" sqref="A12:A16 A18:A22 A24:A28 A30:A34 A36:A40 A42:A46 A48:A52 A54:A58 A228:A232 A60:A64 A72:A76 A78:A82 A90:A94 A84:A88 A96:A100 A102:A106 A114:A118 A108:A112 A120:A124 A126:A130 A138:A142 A132:A136 A144:A148 A150:A154 A162:A166 A156:A160 A168:A172 A174:A178 A186:A190 A180:A184 A192:A196 A198:A202 A210:A214 A204:A208 A216:A220 A222:A226 A234:A238 A66" xr:uid="{7694F886-C01B-440C-B6C8-5FF698F43C26}">
      <formula1>45261</formula1>
    </dataValidation>
  </dataValidations>
  <hyperlinks>
    <hyperlink ref="D7" r:id="rId1" xr:uid="{0F042922-6E00-4A35-A170-701BD284F765}"/>
    <hyperlink ref="D9" r:id="rId2" xr:uid="{21EDFC41-CC09-44F1-8428-4DF1D5596B15}"/>
    <hyperlink ref="D13" r:id="rId3" xr:uid="{783A9A1F-7763-4F38-B4D8-1507D75E9D73}"/>
    <hyperlink ref="D6" r:id="rId4" xr:uid="{F24EEC4B-090E-442E-86B9-1960A63AC2FF}"/>
    <hyperlink ref="D14" r:id="rId5" xr:uid="{BC09E3E6-736E-4276-B5DB-2A8D7DDEA696}"/>
    <hyperlink ref="D18" r:id="rId6" xr:uid="{4DFEC6DB-ED00-4935-8C53-B6A9783D2855}"/>
  </hyperlinks>
  <printOptions horizontalCentered="1"/>
  <pageMargins left="0.51181102362204722" right="0.51181102362204722" top="0.74803149606299213" bottom="0.74803149606299213" header="0.31496062992125984" footer="0.31496062992125984"/>
  <pageSetup paperSize="9" scale="46" orientation="portrait" r:id="rId7"/>
  <headerFooter>
    <oddHeader>&amp;L&amp;"Etml_font,Normal"&amp;22ETML&amp;R&amp;G</oddHeader>
    <oddFooter>&amp;L&amp;14&amp;D&amp;R&amp;14Journal</oddFooter>
  </headerFooter>
  <legacyDrawingHF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5FF5060FAA704B8B8EC8536792D478" ma:contentTypeVersion="3" ma:contentTypeDescription="Crée un document." ma:contentTypeScope="" ma:versionID="1d122ee42f4440bdb76bae0e867ea8cf">
  <xsd:schema xmlns:xsd="http://www.w3.org/2001/XMLSchema" xmlns:xs="http://www.w3.org/2001/XMLSchema" xmlns:p="http://schemas.microsoft.com/office/2006/metadata/properties" xmlns:ns2="00db2195-f9cc-4024-b3af-1f1627d43e67" targetNamespace="http://schemas.microsoft.com/office/2006/metadata/properties" ma:root="true" ma:fieldsID="b0a0e119627867d559f5e44675fb6e73" ns2:_="">
    <xsd:import namespace="00db2195-f9cc-4024-b3af-1f1627d43e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b2195-f9cc-4024-b3af-1f1627d43e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BCAAC0-9C03-42D2-8685-2E30F60CCB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E7A4E0-CE90-450A-A45E-2949B6138E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db2195-f9cc-4024-b3af-1f1627d43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E5610C-8295-4DF9-896F-27896B11777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</vt:lpstr>
      <vt:lpstr>Rapport</vt:lpstr>
      <vt:lpstr>Journal!Zone_d_impression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JNLTRAV</dc:title>
  <dc:subject>Journal de travail</dc:subject>
  <dc:creator>Dimitri Lymberis</dc:creator>
  <cp:keywords/>
  <dc:description/>
  <cp:lastModifiedBy>Kiril Solomatin</cp:lastModifiedBy>
  <cp:revision/>
  <cp:lastPrinted>2026-09-04T14:33:44Z</cp:lastPrinted>
  <dcterms:created xsi:type="dcterms:W3CDTF">1996-10-21T11:03:58Z</dcterms:created>
  <dcterms:modified xsi:type="dcterms:W3CDTF">2026-10-31T17:09:15Z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0x0101000A5FF5060FAA704B8B8EC8536792D478</vt:lpwstr>
  </property>
</Properties>
</file>